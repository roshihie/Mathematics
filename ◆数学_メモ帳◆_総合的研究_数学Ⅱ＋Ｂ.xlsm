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08AA3046-67EF-4DFA-840D-DE633E2E670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総合的研究 数学Ⅱ＋Ｂ" sheetId="3" r:id="rId1"/>
    <sheet name="詳細内容" sheetId="6" r:id="rId2"/>
    <sheet name="メモ内容" sheetId="2" r:id="rId3"/>
  </sheets>
  <definedNames>
    <definedName name="_xlnm._FilterDatabase" localSheetId="0" hidden="1">'総合的研究 数学Ⅱ＋Ｂ'!$B$4:$CD$31</definedName>
    <definedName name="fromABC114_C_755">'総合的研究 数学Ⅱ＋Ｂ'!#REF!</definedName>
    <definedName name="fromABC143_C_Slimes">'総合的研究 数学Ⅱ＋Ｂ'!#REF!</definedName>
    <definedName name="fromABC147_C_Honest_or_Unkind2">'総合的研究 数学Ⅱ＋Ｂ'!#REF!</definedName>
    <definedName name="fromABC149_C_NextPrime">'総合的研究 数学Ⅱ＋Ｂ'!#REF!</definedName>
    <definedName name="toABC114_C_755">詳細内容!#REF!</definedName>
    <definedName name="toABC143_C_Slimes">詳細内容!#REF!</definedName>
    <definedName name="toABC147_C_Honest_or_Unkind2">詳細内容!#REF!</definedName>
    <definedName name="toABC149_C_NextPrime">詳細内容!#REF!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" l="1"/>
  <c r="B7" i="3"/>
  <c r="B14" i="3"/>
  <c r="B8" i="3"/>
  <c r="B9" i="3"/>
  <c r="B10" i="3"/>
  <c r="B11" i="3"/>
  <c r="B12" i="3"/>
  <c r="B17" i="3"/>
  <c r="B31" i="3" l="1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6" i="3"/>
  <c r="B15" i="3"/>
  <c r="B13" i="3"/>
  <c r="B5" i="3"/>
</calcChain>
</file>

<file path=xl/sharedStrings.xml><?xml version="1.0" encoding="utf-8"?>
<sst xmlns="http://schemas.openxmlformats.org/spreadsheetml/2006/main" count="72" uniqueCount="52">
  <si>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</si>
  <si>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</si>
  <si>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</si>
  <si>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</si>
  <si>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</si>
  <si>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</si>
  <si>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</si>
  <si>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</si>
  <si>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</si>
  <si>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</si>
  <si>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</si>
  <si>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</si>
  <si>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</si>
  <si>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初期化</t>
    <rPh sb="0" eb="3">
      <t>ショキカ</t>
    </rPh>
    <phoneticPr fontId="3"/>
  </si>
  <si>
    <t>問題分類</t>
    <rPh sb="0" eb="2">
      <t>モンダイ</t>
    </rPh>
    <rPh sb="2" eb="4">
      <t>ブンルイ</t>
    </rPh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</si>
  <si>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</si>
  <si>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</si>
  <si>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</si>
  <si>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"[C:\Users\roshi_000.000\MyImp\MyOwn\Develop\C++\At_Coder\◆C++_Language解説◆.xlsm]C++ Language解説!M4277"</t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</si>
  <si>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</si>
  <si>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・この証明の仕方が重要</t>
    <rPh sb="3" eb="5">
      <t>ショウメイ</t>
    </rPh>
    <rPh sb="6" eb="8">
      <t>シカタ</t>
    </rPh>
    <rPh sb="9" eb="11">
      <t>ジュウヨウ</t>
    </rPh>
    <phoneticPr fontId="1"/>
  </si>
  <si>
    <t xml:space="preserve">  (1) ⇒ (2) ⇒ (3) ⇒ (1)  これにより、(1) ⇔ (2) ⇔ (3) となる</t>
  </si>
  <si>
    <t>章</t>
    <rPh sb="0" eb="1">
      <t>ショウ</t>
    </rPh>
    <phoneticPr fontId="2"/>
  </si>
  <si>
    <t>セクション</t>
    <phoneticPr fontId="2"/>
  </si>
  <si>
    <t>項番</t>
    <rPh sb="0" eb="2">
      <t>コウバン</t>
    </rPh>
    <phoneticPr fontId="2"/>
  </si>
  <si>
    <t>小項番</t>
    <rPh sb="0" eb="1">
      <t>ショウ</t>
    </rPh>
    <rPh sb="1" eb="3">
      <t>コウバン</t>
    </rPh>
    <phoneticPr fontId="2"/>
  </si>
  <si>
    <t>第１章 式の証明</t>
    <rPh sb="0" eb="1">
      <t>ダイ</t>
    </rPh>
    <rPh sb="2" eb="3">
      <t>ショウ</t>
    </rPh>
    <rPh sb="4" eb="5">
      <t>シキ</t>
    </rPh>
    <rPh sb="6" eb="8">
      <t>ショウメイ</t>
    </rPh>
    <phoneticPr fontId="1"/>
  </si>
  <si>
    <t>§１恒等式</t>
    <rPh sb="2" eb="5">
      <t>コウトウシキ</t>
    </rPh>
    <phoneticPr fontId="1"/>
  </si>
  <si>
    <t>例題102</t>
    <rPh sb="0" eb="2">
      <t>レイダイ</t>
    </rPh>
    <phoneticPr fontId="1"/>
  </si>
  <si>
    <t>・(3) ⇒ (1) の証明は覚える</t>
    <rPh sb="12" eb="14">
      <t>ショウメイ</t>
    </rPh>
    <rPh sb="15" eb="16">
      <t>オボ</t>
    </rPh>
    <phoneticPr fontId="1"/>
  </si>
  <si>
    <t>Pass</t>
  </si>
  <si>
    <t>例題106</t>
    <rPh sb="0" eb="2">
      <t>レイダイ</t>
    </rPh>
    <phoneticPr fontId="2"/>
  </si>
  <si>
    <t>第１章 式の証明</t>
  </si>
  <si>
    <t>§１恒等式</t>
  </si>
  <si>
    <t>・</t>
    <phoneticPr fontId="1"/>
  </si>
  <si>
    <t>とおくと</t>
    <phoneticPr fontId="2"/>
  </si>
  <si>
    <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ka</t>
    </r>
    <phoneticPr fontId="2"/>
  </si>
  <si>
    <r>
      <t>c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kb</t>
    </r>
    <phoneticPr fontId="2"/>
  </si>
  <si>
    <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kc</t>
    </r>
    <phoneticPr fontId="2"/>
  </si>
  <si>
    <t xml:space="preserve"> ・・・①</t>
    <phoneticPr fontId="2"/>
  </si>
  <si>
    <t xml:space="preserve"> ・・・②</t>
    <phoneticPr fontId="2"/>
  </si>
  <si>
    <t xml:space="preserve"> ・・・③</t>
    <phoneticPr fontId="2"/>
  </si>
  <si>
    <t>①＋②＋③より</t>
    <phoneticPr fontId="2"/>
  </si>
  <si>
    <r>
      <rPr>
        <sz val="11.5"/>
        <color theme="1"/>
        <rFont val="HGS明朝B"/>
        <family val="1"/>
        <charset val="128"/>
      </rPr>
      <t>2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>=</t>
    </r>
    <r>
      <rPr>
        <sz val="12"/>
        <color theme="1"/>
        <rFont val="BKM-cmmi10"/>
        <family val="2"/>
        <charset val="2"/>
      </rPr>
      <t>k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2"/>
        <color theme="1"/>
        <rFont val="Meiryo UI"/>
        <family val="2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</t>
    </r>
    <phoneticPr fontId="2"/>
  </si>
  <si>
    <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を ①、②、③ に代入すると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となり、</t>
    </r>
    <r>
      <rPr>
        <sz val="12"/>
        <color theme="1"/>
        <rFont val="BKM-cmmi10"/>
        <family val="2"/>
        <charset val="2"/>
      </rPr>
      <t>abc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である解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が存在する </t>
    </r>
    <r>
      <rPr>
        <sz val="12.5"/>
        <color theme="1"/>
        <rFont val="Constantia"/>
        <family val="1"/>
      </rPr>
      <t>(</t>
    </r>
    <r>
      <rPr>
        <sz val="10"/>
        <color theme="1"/>
        <rFont val="Meiryo UI"/>
        <family val="3"/>
        <charset val="128"/>
      </rPr>
      <t>十分条件</t>
    </r>
    <r>
      <rPr>
        <sz val="12.5"/>
        <color theme="1"/>
        <rFont val="Constantia"/>
        <family val="1"/>
      </rPr>
      <t>)</t>
    </r>
  </si>
  <si>
    <t>,</t>
    <phoneticPr fontId="2"/>
  </si>
  <si>
    <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)(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－</t>
    </r>
    <r>
      <rPr>
        <sz val="11.5"/>
        <color theme="1"/>
        <rFont val="HGS明朝B"/>
        <family val="1"/>
        <charset val="128"/>
      </rPr>
      <t>2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0</t>
    </r>
    <phoneticPr fontId="2"/>
  </si>
  <si>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のとき 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となる。 このとき </t>
    </r>
    <r>
      <rPr>
        <sz val="12"/>
        <color theme="1"/>
        <rFont val="BKM-cmmi10"/>
        <family val="2"/>
        <charset val="2"/>
      </rPr>
      <t>abc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が成り立つか否かが不明であるため、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は必要条件に過ぎない</t>
    </r>
    <rPh sb="33" eb="34">
      <t>ナ</t>
    </rPh>
    <rPh sb="35" eb="36">
      <t>タ</t>
    </rPh>
    <rPh sb="38" eb="39">
      <t>イナ</t>
    </rPh>
    <rPh sb="41" eb="43">
      <t>フメイ</t>
    </rPh>
    <rPh sb="54" eb="58">
      <t>ヒツヨウジョウケン</t>
    </rPh>
    <rPh sb="59" eb="60">
      <t>ス</t>
    </rPh>
    <phoneticPr fontId="2"/>
  </si>
  <si>
    <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のとき </t>
    </r>
    <phoneticPr fontId="2"/>
  </si>
  <si>
    <r>
      <t xml:space="preserve">以上より 求める式の値は 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, －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 xml:space="preserve"> となる</t>
    </r>
    <rPh sb="0" eb="2">
      <t>イジョウ</t>
    </rPh>
    <rPh sb="5" eb="6">
      <t>モト</t>
    </rPh>
    <rPh sb="8" eb="9">
      <t>シキ</t>
    </rPh>
    <rPh sb="10" eb="11">
      <t>アタイ</t>
    </rPh>
    <phoneticPr fontId="2"/>
  </si>
  <si>
    <t>(lnk)</t>
    <phoneticPr fontId="2"/>
  </si>
  <si>
    <t>https://hibikore-tanren.com/proportional-expression-value/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</si>
</sst>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sz val="12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theme="1"/>
      <name val="Meiryo UI"/>
      <family val="1"/>
      <charset val="128"/>
    </font>
    <font>
      <sz val="10"/>
      <color theme="1"/>
      <name val="Meiryo UI"/>
      <family val="2"/>
      <charset val="2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49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Border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vertical="center"/>
    </xf>
    <xf numFmtId="176" fontId="5" fillId="2" borderId="5" xfId="0" applyNumberFormat="1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49" fontId="5" fillId="2" borderId="7" xfId="0" applyNumberFormat="1" applyFont="1" applyFill="1" applyBorder="1" applyAlignment="1">
      <alignment vertical="center"/>
    </xf>
    <xf numFmtId="49" fontId="5" fillId="2" borderId="0" xfId="0" applyNumberFormat="1" applyFont="1" applyFill="1" applyBorder="1" applyAlignment="1">
      <alignment vertical="center"/>
    </xf>
    <xf numFmtId="49" fontId="5" fillId="2" borderId="8" xfId="0" applyNumberFormat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 wrapText="1"/>
    </xf>
    <xf numFmtId="176" fontId="5" fillId="0" borderId="5" xfId="0" applyNumberFormat="1" applyFont="1" applyFill="1" applyBorder="1" applyAlignment="1">
      <alignment vertical="center"/>
    </xf>
    <xf numFmtId="9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176" fontId="5" fillId="0" borderId="6" xfId="0" applyNumberFormat="1" applyFont="1" applyFill="1" applyBorder="1" applyAlignment="1">
      <alignment vertical="center"/>
    </xf>
    <xf numFmtId="9" fontId="5" fillId="0" borderId="6" xfId="0" applyNumberFormat="1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0" borderId="11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8" xfId="0" applyFont="1" applyBorder="1" applyAlignment="1">
      <alignment vertical="center"/>
    </xf>
    <xf numFmtId="0" fontId="5" fillId="0" borderId="5" xfId="0" applyNumberFormat="1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9" fontId="8" fillId="0" borderId="5" xfId="0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vertical="center"/>
    </xf>
    <xf numFmtId="49" fontId="6" fillId="0" borderId="2" xfId="0" applyNumberFormat="1" applyFont="1" applyFill="1" applyBorder="1" applyAlignment="1">
      <alignment vertical="center"/>
    </xf>
    <xf numFmtId="176" fontId="6" fillId="0" borderId="4" xfId="0" applyNumberFormat="1" applyFont="1" applyFill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6" fillId="0" borderId="0" xfId="0" applyNumberFormat="1" applyFont="1" applyFill="1" applyBorder="1" applyAlignment="1">
      <alignment vertical="center"/>
    </xf>
    <xf numFmtId="0" fontId="6" fillId="0" borderId="5" xfId="0" applyFont="1" applyBorder="1">
      <alignment vertical="center"/>
    </xf>
    <xf numFmtId="49" fontId="6" fillId="0" borderId="5" xfId="0" applyNumberFormat="1" applyFont="1" applyBorder="1">
      <alignment vertical="center"/>
    </xf>
    <xf numFmtId="176" fontId="6" fillId="0" borderId="5" xfId="0" applyNumberFormat="1" applyFont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49" fontId="9" fillId="0" borderId="5" xfId="0" applyNumberFormat="1" applyFont="1" applyBorder="1">
      <alignment vertical="center"/>
    </xf>
    <xf numFmtId="49" fontId="6" fillId="0" borderId="12" xfId="0" applyNumberFormat="1" applyFont="1" applyFill="1" applyBorder="1" applyAlignment="1">
      <alignment vertical="center"/>
    </xf>
    <xf numFmtId="49" fontId="6" fillId="0" borderId="13" xfId="0" applyNumberFormat="1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9" fontId="14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4" fillId="0" borderId="0" xfId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588066</xdr:colOff>
          <xdr:row>1</xdr:row>
          <xdr:rowOff>16564</xdr:rowOff>
        </xdr:from>
        <xdr:to>
          <xdr:col>9</xdr:col>
          <xdr:colOff>8283</xdr:colOff>
          <xdr:row>2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33131</xdr:colOff>
      <xdr:row>7</xdr:row>
      <xdr:rowOff>115954</xdr:rowOff>
    </xdr:from>
    <xdr:to>
      <xdr:col>21</xdr:col>
      <xdr:colOff>64564</xdr:colOff>
      <xdr:row>9</xdr:row>
      <xdr:rowOff>64809</xdr:rowOff>
    </xdr:to>
    <xdr:pic>
      <xdr:nvPicPr>
        <xdr:cNvPr id="3" name="図 2" descr="[res=400]{&#10;\[&#10;&#10;&#10;\frac{b+c}{a}=\frac{c+a}{b}=\frac{a+b}{c}=k&#10;&#10;&#10;\]&#10;&#10;}&#10;">
          <a:extLst>
            <a:ext uri="{FF2B5EF4-FFF2-40B4-BE49-F238E27FC236}">
              <a16:creationId xmlns:a16="http://schemas.microsoft.com/office/drawing/2014/main" id="{A351E610-B2C7-418C-8088-C4901523B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3935" y="1200976"/>
          <a:ext cx="1820477" cy="329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66263</xdr:colOff>
      <xdr:row>15</xdr:row>
      <xdr:rowOff>33132</xdr:rowOff>
    </xdr:from>
    <xdr:to>
      <xdr:col>20</xdr:col>
      <xdr:colOff>180563</xdr:colOff>
      <xdr:row>16</xdr:row>
      <xdr:rowOff>171245</xdr:rowOff>
    </xdr:to>
    <xdr:pic>
      <xdr:nvPicPr>
        <xdr:cNvPr id="8" name="図 7" descr="[res=400]{&#10;\[&#10;&#10;&#10;k=\frac{b+c}{a}=\frac{-a}{a}=-1&#10;\]&#10;&#10;}&#10;">
          <a:extLst>
            <a:ext uri="{FF2B5EF4-FFF2-40B4-BE49-F238E27FC236}">
              <a16:creationId xmlns:a16="http://schemas.microsoft.com/office/drawing/2014/main" id="{A52B9856-0573-42B9-B1F3-CDFA54E89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5850" y="2667002"/>
          <a:ext cx="1505778" cy="328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ibikore-tanren.com/proportional-expression-value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B31"/>
  <sheetViews>
    <sheetView tabSelected="1" zoomScale="115" zoomScaleNormal="115" workbookViewId="0">
      <pane ySplit="4" topLeftCell="A5" activePane="bottomLeft" state="frozen"/>
      <selection pane="bottomLeft" activeCell="A23" sqref="A23"/>
    </sheetView>
  </sheetViews>
  <sheetFormatPr defaultColWidth="2.625" defaultRowHeight="15" customHeight="1" outlineLevelCol="1" x14ac:dyDescent="0.15"/>
  <cols>
    <col min="1" max="1" width="0.5" style="19" customWidth="1"/>
    <col min="2" max="2" width="3.5" style="37" bestFit="1" customWidth="1"/>
    <col min="3" max="4" width="3.25" style="37" customWidth="1"/>
    <col min="5" max="5" width="17.25" style="28" customWidth="1" outlineLevel="1"/>
    <col min="6" max="6" width="31.625" style="28" customWidth="1" outlineLevel="1"/>
    <col min="7" max="7" width="8.5" style="28" bestFit="1" customWidth="1" outlineLevel="1"/>
    <col min="8" max="8" width="5" style="28" bestFit="1" customWidth="1" outlineLevel="1"/>
    <col min="9" max="9" width="5.5" style="28" customWidth="1"/>
    <col min="10" max="10" width="14.625" style="38" bestFit="1" customWidth="1"/>
    <col min="11" max="11" width="6.125" style="37" bestFit="1" customWidth="1"/>
    <col min="12" max="81" width="2.625" style="28" customWidth="1"/>
    <col min="82" max="82" width="5.5" style="28" customWidth="1"/>
    <col min="83" max="87" width="2.625" style="28"/>
    <col min="88" max="16384" width="2.625" style="19"/>
  </cols>
  <sheetData>
    <row r="1" spans="1:132" s="9" customFormat="1" ht="3" customHeight="1" x14ac:dyDescent="0.15">
      <c r="A1" s="6"/>
      <c r="B1" s="7"/>
      <c r="C1" s="7"/>
      <c r="D1" s="7"/>
      <c r="E1" s="6"/>
      <c r="F1" s="6"/>
      <c r="G1" s="6"/>
      <c r="H1" s="6"/>
      <c r="I1" s="6"/>
      <c r="J1" s="8"/>
      <c r="K1" s="7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</row>
    <row r="2" spans="1:132" s="50" customFormat="1" ht="15.75" x14ac:dyDescent="0.15">
      <c r="B2" s="51" t="s">
        <v>8</v>
      </c>
      <c r="C2" s="52" t="s">
        <v>15</v>
      </c>
      <c r="D2" s="52" t="s">
        <v>16</v>
      </c>
      <c r="E2" s="70" t="s">
        <v>14</v>
      </c>
      <c r="F2" s="71"/>
      <c r="G2" s="71"/>
      <c r="H2" s="72"/>
      <c r="I2" s="73"/>
      <c r="J2" s="55" t="s">
        <v>10</v>
      </c>
      <c r="K2" s="44" t="s">
        <v>11</v>
      </c>
      <c r="L2" s="53" t="s">
        <v>17</v>
      </c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39"/>
      <c r="AM2" s="39"/>
      <c r="AN2" s="39"/>
      <c r="AO2" s="39"/>
      <c r="AP2" s="39"/>
      <c r="AQ2" s="39"/>
      <c r="AR2" s="39"/>
      <c r="AS2" s="39"/>
      <c r="AT2" s="40"/>
      <c r="AU2" s="53" t="s">
        <v>19</v>
      </c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7"/>
      <c r="CD2" s="58" t="s">
        <v>12</v>
      </c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59"/>
      <c r="EA2" s="59"/>
      <c r="EB2" s="59"/>
    </row>
    <row r="3" spans="1:132" s="50" customFormat="1" ht="15.75" x14ac:dyDescent="0.15">
      <c r="B3" s="45"/>
      <c r="C3" s="45"/>
      <c r="D3" s="45"/>
      <c r="E3" s="60" t="s">
        <v>22</v>
      </c>
      <c r="F3" s="60" t="s">
        <v>23</v>
      </c>
      <c r="G3" s="60" t="s">
        <v>9</v>
      </c>
      <c r="H3" s="61" t="s">
        <v>24</v>
      </c>
      <c r="I3" s="69" t="s">
        <v>25</v>
      </c>
      <c r="J3" s="62"/>
      <c r="K3" s="45"/>
      <c r="L3" s="63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41"/>
      <c r="AM3" s="41"/>
      <c r="AN3" s="41"/>
      <c r="AO3" s="41"/>
      <c r="AP3" s="41"/>
      <c r="AQ3" s="41"/>
      <c r="AR3" s="41"/>
      <c r="AS3" s="41"/>
      <c r="AT3" s="42"/>
      <c r="AU3" s="65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7"/>
      <c r="CD3" s="68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</row>
    <row r="4" spans="1:132" s="9" customFormat="1" ht="8.1" customHeight="1" x14ac:dyDescent="0.15">
      <c r="B4" s="10"/>
      <c r="C4" s="10"/>
      <c r="D4" s="10"/>
      <c r="E4" s="11"/>
      <c r="F4" s="11"/>
      <c r="G4" s="11"/>
      <c r="H4" s="11"/>
      <c r="I4" s="11"/>
      <c r="J4" s="12"/>
      <c r="K4" s="10"/>
      <c r="L4" s="13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5"/>
      <c r="AU4" s="16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8"/>
      <c r="CD4" s="11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</row>
    <row r="5" spans="1:132" ht="15" customHeight="1" x14ac:dyDescent="0.15">
      <c r="B5" s="20">
        <f>IF(G5&lt;&gt;"",SUBTOTAL(3,$G$5:G5),"")</f>
        <v>1</v>
      </c>
      <c r="C5" s="20"/>
      <c r="D5" s="20"/>
      <c r="E5" s="21" t="s">
        <v>26</v>
      </c>
      <c r="F5" s="21" t="s">
        <v>27</v>
      </c>
      <c r="G5" s="21" t="s">
        <v>28</v>
      </c>
      <c r="H5" s="21"/>
      <c r="I5" s="21"/>
      <c r="J5" s="23">
        <v>44150</v>
      </c>
      <c r="K5" s="24" t="s">
        <v>30</v>
      </c>
      <c r="L5" s="25" t="s">
        <v>20</v>
      </c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7"/>
      <c r="AU5" s="2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7"/>
      <c r="CD5" s="22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</row>
    <row r="6" spans="1:132" ht="15" customHeight="1" x14ac:dyDescent="0.15">
      <c r="B6" s="43" t="str">
        <f>IF(G6&lt;&gt;"",SUBTOTAL(3,$G$5:G6),"")</f>
        <v/>
      </c>
      <c r="C6" s="20"/>
      <c r="D6" s="20"/>
      <c r="E6" s="21"/>
      <c r="F6" s="21"/>
      <c r="G6" s="21"/>
      <c r="H6" s="21"/>
      <c r="I6" s="21"/>
      <c r="J6" s="23"/>
      <c r="K6" s="49" t="s">
        <v>30</v>
      </c>
      <c r="L6" s="25" t="s">
        <v>21</v>
      </c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7"/>
      <c r="AU6" s="25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7"/>
      <c r="CD6" s="22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</row>
    <row r="7" spans="1:132" ht="15" customHeight="1" x14ac:dyDescent="0.15">
      <c r="B7" s="43" t="str">
        <f>IF(G7&lt;&gt;"",SUBTOTAL(3,$G$5:G7),"")</f>
        <v/>
      </c>
      <c r="C7" s="20"/>
      <c r="D7" s="20"/>
      <c r="E7" s="21"/>
      <c r="F7" s="21"/>
      <c r="G7" s="21"/>
      <c r="H7" s="21"/>
      <c r="I7" s="21"/>
      <c r="J7" s="23"/>
      <c r="K7" s="49" t="s">
        <v>30</v>
      </c>
      <c r="L7" s="46" t="s">
        <v>29</v>
      </c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7"/>
      <c r="AU7" s="25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7"/>
      <c r="CD7" s="22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</row>
    <row r="8" spans="1:132" ht="15" customHeight="1" x14ac:dyDescent="0.15">
      <c r="B8" s="43" t="str">
        <f>IF(G8&lt;&gt;"",SUBTOTAL(3,$G$5:G8),"")</f>
        <v/>
      </c>
      <c r="C8" s="20"/>
      <c r="D8" s="20"/>
      <c r="E8" s="21"/>
      <c r="F8" s="21"/>
      <c r="G8" s="21"/>
      <c r="H8" s="21"/>
      <c r="I8" s="21"/>
      <c r="J8" s="23"/>
      <c r="K8" s="49" t="s">
        <v>30</v>
      </c>
      <c r="M8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7"/>
      <c r="AU8" s="25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7"/>
      <c r="CD8" s="22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</row>
    <row r="9" spans="1:132" ht="15" customHeight="1" x14ac:dyDescent="0.15">
      <c r="B9" s="43">
        <f>IF(G9&lt;&gt;"",SUBTOTAL(3,$G$5:G9),"")</f>
        <v>2</v>
      </c>
      <c r="C9" s="20"/>
      <c r="D9" s="20"/>
      <c r="E9" s="21" t="s">
        <v>32</v>
      </c>
      <c r="F9" s="21" t="s">
        <v>33</v>
      </c>
      <c r="G9" s="21" t="s">
        <v>31</v>
      </c>
      <c r="H9" s="21"/>
      <c r="I9" s="21"/>
      <c r="J9" s="23">
        <v>44150</v>
      </c>
      <c r="K9" s="74" t="s">
        <v>30</v>
      </c>
      <c r="L9" s="25" t="s">
        <v>34</v>
      </c>
      <c r="M9" s="26"/>
      <c r="N9" s="26"/>
      <c r="O9" s="26"/>
      <c r="P9" s="26"/>
      <c r="Q9" s="26"/>
      <c r="R9" s="26"/>
      <c r="S9" s="26"/>
      <c r="T9" s="26"/>
      <c r="U9" s="26"/>
      <c r="V9" s="26"/>
      <c r="W9" s="26" t="s">
        <v>35</v>
      </c>
      <c r="X9" s="26"/>
      <c r="Y9"/>
      <c r="Z9" s="75" t="s">
        <v>36</v>
      </c>
      <c r="AB9" s="26"/>
      <c r="AC9" s="26" t="s">
        <v>39</v>
      </c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7"/>
      <c r="AU9" s="25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7"/>
      <c r="CD9" s="22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</row>
    <row r="10" spans="1:132" ht="15" customHeight="1" x14ac:dyDescent="0.15">
      <c r="B10" s="43" t="str">
        <f>IF(G10&lt;&gt;"",SUBTOTAL(3,$G$5:G10),"")</f>
        <v/>
      </c>
      <c r="C10" s="20"/>
      <c r="D10" s="20"/>
      <c r="E10" s="21"/>
      <c r="F10" s="21"/>
      <c r="G10" s="21"/>
      <c r="H10" s="21"/>
      <c r="I10" s="21"/>
      <c r="J10" s="23"/>
      <c r="K10" s="49" t="s">
        <v>30</v>
      </c>
      <c r="L10" s="25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75" t="s">
        <v>37</v>
      </c>
      <c r="AB10" s="26"/>
      <c r="AC10" s="26" t="s">
        <v>40</v>
      </c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7"/>
      <c r="AU10" s="25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7"/>
      <c r="CD10" s="22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</row>
    <row r="11" spans="1:132" ht="15" customHeight="1" x14ac:dyDescent="0.15">
      <c r="B11" s="43" t="str">
        <f>IF(G11&lt;&gt;"",SUBTOTAL(3,$G$5:G11),"")</f>
        <v/>
      </c>
      <c r="C11" s="20"/>
      <c r="D11" s="20"/>
      <c r="E11" s="21"/>
      <c r="F11" s="21"/>
      <c r="G11" s="21"/>
      <c r="H11" s="21"/>
      <c r="I11" s="21"/>
      <c r="J11" s="23"/>
      <c r="K11" s="49" t="s">
        <v>30</v>
      </c>
      <c r="L11" s="25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75" t="s">
        <v>38</v>
      </c>
      <c r="AB11" s="26"/>
      <c r="AC11" s="26" t="s">
        <v>41</v>
      </c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7"/>
      <c r="AU11" s="25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7"/>
      <c r="CD11" s="22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</row>
    <row r="12" spans="1:132" ht="15" customHeight="1" x14ac:dyDescent="0.15">
      <c r="B12" s="43" t="str">
        <f>IF(G12&lt;&gt;"",SUBTOTAL(3,$G$5:G12),"")</f>
        <v/>
      </c>
      <c r="C12" s="20"/>
      <c r="D12" s="20"/>
      <c r="E12" s="21"/>
      <c r="F12" s="21"/>
      <c r="G12" s="21"/>
      <c r="H12" s="21"/>
      <c r="I12" s="21"/>
      <c r="J12" s="23"/>
      <c r="K12" s="49" t="s">
        <v>30</v>
      </c>
      <c r="L12" s="25"/>
      <c r="M12" s="26" t="s">
        <v>42</v>
      </c>
      <c r="N12" s="26"/>
      <c r="O12" s="26"/>
      <c r="P12" s="26"/>
      <c r="Q12" s="26"/>
      <c r="R12" s="76" t="s">
        <v>43</v>
      </c>
      <c r="S12" s="26"/>
      <c r="T12" s="26"/>
      <c r="U12" s="26"/>
      <c r="V12" s="26"/>
      <c r="W12" s="26"/>
      <c r="X12" s="26"/>
      <c r="Y12" s="26"/>
      <c r="Z12" s="26" t="s">
        <v>45</v>
      </c>
      <c r="AA12" s="77" t="s">
        <v>46</v>
      </c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7"/>
      <c r="AU12" s="25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7"/>
      <c r="CD12" s="22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</row>
    <row r="13" spans="1:132" ht="15" customHeight="1" x14ac:dyDescent="0.15">
      <c r="B13" s="20" t="str">
        <f>IF(G13&lt;&gt;"",SUBTOTAL(3,$G$5:G13),"")</f>
        <v/>
      </c>
      <c r="C13" s="20"/>
      <c r="D13" s="20"/>
      <c r="E13" s="21"/>
      <c r="F13" s="21"/>
      <c r="G13" s="21"/>
      <c r="H13" s="21"/>
      <c r="I13" s="21"/>
      <c r="J13" s="23"/>
      <c r="K13" s="49" t="s">
        <v>30</v>
      </c>
      <c r="L13" s="25"/>
      <c r="M13" s="78" t="s">
        <v>47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7"/>
      <c r="AU13" s="25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7"/>
      <c r="CD13" s="22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</row>
    <row r="14" spans="1:132" ht="15" customHeight="1" x14ac:dyDescent="0.15">
      <c r="B14" s="43" t="str">
        <f>IF(G14&lt;&gt;"",SUBTOTAL(3,$G$5:G14),"")</f>
        <v/>
      </c>
      <c r="C14" s="20"/>
      <c r="D14" s="20"/>
      <c r="E14" s="21"/>
      <c r="F14" s="21"/>
      <c r="G14" s="21"/>
      <c r="H14" s="21"/>
      <c r="I14" s="21"/>
      <c r="J14" s="23"/>
      <c r="K14" s="49" t="s">
        <v>30</v>
      </c>
      <c r="L14" s="25"/>
      <c r="N14" s="75" t="s">
        <v>44</v>
      </c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7"/>
      <c r="AU14" s="25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7"/>
      <c r="CD14" s="22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</row>
    <row r="15" spans="1:132" ht="15" customHeight="1" x14ac:dyDescent="0.15">
      <c r="B15" s="20" t="str">
        <f>IF(G15&lt;&gt;"",SUBTOTAL(3,$G$5:G15),"")</f>
        <v/>
      </c>
      <c r="C15" s="20"/>
      <c r="D15" s="20"/>
      <c r="E15" s="21"/>
      <c r="F15" s="21"/>
      <c r="G15" s="21"/>
      <c r="H15" s="21"/>
      <c r="I15" s="21"/>
      <c r="J15" s="23"/>
      <c r="K15" s="49" t="s">
        <v>30</v>
      </c>
      <c r="L15" s="46"/>
      <c r="M15" s="75" t="s">
        <v>48</v>
      </c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8"/>
      <c r="AU15" s="25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7"/>
      <c r="CD15" s="22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</row>
    <row r="16" spans="1:132" ht="15" customHeight="1" x14ac:dyDescent="0.15">
      <c r="B16" s="20" t="str">
        <f>IF(G16&lt;&gt;"",SUBTOTAL(3,$G$5:G16),"")</f>
        <v/>
      </c>
      <c r="C16" s="20"/>
      <c r="D16" s="20"/>
      <c r="E16" s="21"/>
      <c r="F16" s="21"/>
      <c r="G16" s="21"/>
      <c r="H16" s="21"/>
      <c r="I16" s="21"/>
      <c r="J16" s="23"/>
      <c r="K16" s="49" t="s">
        <v>30</v>
      </c>
      <c r="L16" s="25"/>
      <c r="M16" s="26"/>
      <c r="N1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7"/>
      <c r="AU16" s="25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7"/>
      <c r="CD16" s="22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</row>
    <row r="17" spans="2:132" ht="15" customHeight="1" x14ac:dyDescent="0.15">
      <c r="B17" s="43" t="str">
        <f>IF(G17&lt;&gt;"",SUBTOTAL(3,$G$5:G17),"")</f>
        <v/>
      </c>
      <c r="C17" s="20"/>
      <c r="D17" s="20"/>
      <c r="E17" s="21"/>
      <c r="F17" s="21"/>
      <c r="G17" s="21"/>
      <c r="H17" s="21"/>
      <c r="I17" s="21"/>
      <c r="J17" s="23"/>
      <c r="K17" s="49" t="s">
        <v>30</v>
      </c>
      <c r="L17" s="25"/>
      <c r="M17" s="26"/>
      <c r="N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7"/>
      <c r="AU17" s="25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7"/>
      <c r="CD17" s="22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</row>
    <row r="18" spans="2:132" ht="15" customHeight="1" x14ac:dyDescent="0.15">
      <c r="B18" s="20" t="str">
        <f>IF(G18&lt;&gt;"",SUBTOTAL(3,$G$5:G18),"")</f>
        <v/>
      </c>
      <c r="C18" s="20"/>
      <c r="D18" s="20"/>
      <c r="E18" s="21"/>
      <c r="F18" s="21"/>
      <c r="G18" s="21"/>
      <c r="H18" s="21"/>
      <c r="I18" s="21"/>
      <c r="J18" s="23"/>
      <c r="K18" s="49" t="s">
        <v>30</v>
      </c>
      <c r="L18" s="25"/>
      <c r="M18" s="26" t="s">
        <v>49</v>
      </c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7"/>
      <c r="AU18" s="25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7"/>
      <c r="CD18" s="22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</row>
    <row r="19" spans="2:132" ht="15" customHeight="1" x14ac:dyDescent="0.15">
      <c r="B19" s="20" t="str">
        <f>IF(G19&lt;&gt;"",SUBTOTAL(3,$G$5:G19),"")</f>
        <v/>
      </c>
      <c r="C19" s="20"/>
      <c r="D19" s="20"/>
      <c r="E19" s="21"/>
      <c r="F19" s="21"/>
      <c r="G19" s="21"/>
      <c r="H19" s="21"/>
      <c r="I19" s="21"/>
      <c r="J19" s="23"/>
      <c r="K19" s="49" t="s">
        <v>30</v>
      </c>
      <c r="L19" s="25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7"/>
      <c r="AU19" s="25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7"/>
      <c r="CD19" s="22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</row>
    <row r="20" spans="2:132" ht="15" customHeight="1" x14ac:dyDescent="0.15">
      <c r="B20" s="20" t="str">
        <f>IF(G20&lt;&gt;"",SUBTOTAL(3,$G$5:G20),"")</f>
        <v/>
      </c>
      <c r="C20" s="20"/>
      <c r="D20" s="20"/>
      <c r="E20" s="21"/>
      <c r="F20" s="21"/>
      <c r="G20" s="21"/>
      <c r="H20" s="21"/>
      <c r="I20" s="21"/>
      <c r="J20" s="23"/>
      <c r="K20" s="24"/>
      <c r="L20" s="25" t="s">
        <v>1</v>
      </c>
      <c r="M20" s="26" t="s">
        <v>50</v>
      </c>
      <c r="N20" s="26"/>
      <c r="O20" s="79" t="s">
        <v>51</v>
      </c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7"/>
      <c r="AU20" s="25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7"/>
      <c r="CD20" s="22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</row>
    <row r="21" spans="2:132" ht="15" customHeight="1" x14ac:dyDescent="0.15">
      <c r="B21" s="20" t="str">
        <f>IF(G21&lt;&gt;"",SUBTOTAL(3,$G$5:G21),"")</f>
        <v/>
      </c>
      <c r="C21" s="20"/>
      <c r="D21" s="20"/>
      <c r="E21" s="21"/>
      <c r="F21" s="21"/>
      <c r="G21" s="21"/>
      <c r="H21" s="21"/>
      <c r="I21" s="21"/>
      <c r="J21" s="23"/>
      <c r="K21" s="24"/>
      <c r="L21" s="25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7"/>
      <c r="AU21" s="25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7"/>
      <c r="CD21" s="22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</row>
    <row r="22" spans="2:132" ht="15" customHeight="1" x14ac:dyDescent="0.15">
      <c r="B22" s="20" t="str">
        <f>IF(G22&lt;&gt;"",SUBTOTAL(3,$G$5:G22),"")</f>
        <v/>
      </c>
      <c r="C22" s="20"/>
      <c r="D22" s="20"/>
      <c r="E22" s="21"/>
      <c r="F22" s="21"/>
      <c r="G22" s="21"/>
      <c r="H22" s="21"/>
      <c r="I22" s="21"/>
      <c r="J22" s="23"/>
      <c r="K22" s="24"/>
      <c r="L22" s="25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7"/>
      <c r="AU22" s="25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7"/>
      <c r="CD22" s="22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</row>
    <row r="23" spans="2:132" ht="15" customHeight="1" x14ac:dyDescent="0.15">
      <c r="B23" s="20" t="str">
        <f>IF(G23&lt;&gt;"",SUBTOTAL(3,$G$5:G23),"")</f>
        <v/>
      </c>
      <c r="C23" s="20"/>
      <c r="D23" s="20"/>
      <c r="E23" s="21"/>
      <c r="F23" s="21"/>
      <c r="G23" s="21"/>
      <c r="H23" s="21"/>
      <c r="I23" s="21"/>
      <c r="J23" s="23"/>
      <c r="K23" s="24"/>
      <c r="L23" s="25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7"/>
      <c r="AU23" s="25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7"/>
      <c r="CD23" s="22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</row>
    <row r="24" spans="2:132" ht="15" customHeight="1" x14ac:dyDescent="0.15">
      <c r="B24" s="20" t="str">
        <f>IF(G24&lt;&gt;"",SUBTOTAL(3,$G$5:G24),"")</f>
        <v/>
      </c>
      <c r="C24" s="20"/>
      <c r="D24" s="20"/>
      <c r="E24" s="21"/>
      <c r="F24" s="21"/>
      <c r="G24" s="21"/>
      <c r="H24" s="21"/>
      <c r="I24" s="21"/>
      <c r="J24" s="23"/>
      <c r="K24" s="24"/>
      <c r="L24" s="25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7"/>
      <c r="AU24" s="25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7"/>
      <c r="CD24" s="22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</row>
    <row r="25" spans="2:132" ht="15" customHeight="1" x14ac:dyDescent="0.15">
      <c r="B25" s="20" t="str">
        <f>IF(G25&lt;&gt;"",SUBTOTAL(3,$G$5:G25),"")</f>
        <v/>
      </c>
      <c r="C25" s="20"/>
      <c r="D25" s="20"/>
      <c r="E25" s="21"/>
      <c r="F25" s="21"/>
      <c r="G25" s="21"/>
      <c r="H25" s="21"/>
      <c r="I25" s="21"/>
      <c r="J25" s="23"/>
      <c r="K25" s="24"/>
      <c r="L25" s="25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7"/>
      <c r="AU25" s="25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7"/>
      <c r="CD25" s="22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</row>
    <row r="26" spans="2:132" ht="15" customHeight="1" x14ac:dyDescent="0.15">
      <c r="B26" s="20" t="str">
        <f>IF(G26&lt;&gt;"",SUBTOTAL(3,$G$5:G26),"")</f>
        <v/>
      </c>
      <c r="C26" s="20"/>
      <c r="D26" s="20"/>
      <c r="E26" s="21"/>
      <c r="F26" s="21"/>
      <c r="G26" s="21"/>
      <c r="H26" s="21"/>
      <c r="I26" s="21"/>
      <c r="J26" s="23"/>
      <c r="K26" s="24"/>
      <c r="L26" s="25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7"/>
      <c r="AU26" s="25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7"/>
      <c r="CD26" s="22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</row>
    <row r="27" spans="2:132" ht="15" customHeight="1" x14ac:dyDescent="0.15">
      <c r="B27" s="20" t="str">
        <f>IF(G27&lt;&gt;"",SUBTOTAL(3,$G$5:G27),"")</f>
        <v/>
      </c>
      <c r="C27" s="20"/>
      <c r="D27" s="20"/>
      <c r="E27" s="21"/>
      <c r="F27" s="21"/>
      <c r="G27" s="21"/>
      <c r="H27" s="21"/>
      <c r="I27" s="21"/>
      <c r="J27" s="23"/>
      <c r="K27" s="24"/>
      <c r="L27" s="25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7"/>
      <c r="AU27" s="25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7"/>
      <c r="CD27" s="22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</row>
    <row r="28" spans="2:132" ht="15" customHeight="1" x14ac:dyDescent="0.15">
      <c r="B28" s="20" t="str">
        <f>IF(G28&lt;&gt;"",SUBTOTAL(3,$G$5:G28),"")</f>
        <v/>
      </c>
      <c r="C28" s="20"/>
      <c r="D28" s="20"/>
      <c r="E28" s="21"/>
      <c r="F28" s="21"/>
      <c r="G28" s="21"/>
      <c r="H28" s="21"/>
      <c r="I28" s="21"/>
      <c r="J28" s="23"/>
      <c r="K28" s="24"/>
      <c r="L28" s="25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7"/>
      <c r="AU28" s="25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7"/>
      <c r="CD28" s="22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</row>
    <row r="29" spans="2:132" ht="15" customHeight="1" x14ac:dyDescent="0.15">
      <c r="B29" s="20" t="str">
        <f>IF(G29&lt;&gt;"",SUBTOTAL(3,$G$5:G29),"")</f>
        <v/>
      </c>
      <c r="C29" s="20"/>
      <c r="D29" s="20"/>
      <c r="E29" s="21"/>
      <c r="F29" s="21"/>
      <c r="G29" s="21"/>
      <c r="H29" s="21"/>
      <c r="I29" s="21"/>
      <c r="J29" s="23"/>
      <c r="K29" s="24"/>
      <c r="L29" s="25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7"/>
      <c r="AU29" s="25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7"/>
      <c r="CD29" s="22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</row>
    <row r="30" spans="2:132" ht="15" customHeight="1" x14ac:dyDescent="0.15">
      <c r="B30" s="20" t="str">
        <f>IF(G30&lt;&gt;"",SUBTOTAL(3,$G$5:G30),"")</f>
        <v/>
      </c>
      <c r="C30" s="20"/>
      <c r="D30" s="20"/>
      <c r="E30" s="21"/>
      <c r="F30" s="21"/>
      <c r="G30" s="21"/>
      <c r="H30" s="21"/>
      <c r="I30" s="21"/>
      <c r="J30" s="23"/>
      <c r="K30" s="24"/>
      <c r="L30" s="25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7"/>
      <c r="AU30" s="25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7"/>
      <c r="CD30" s="22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</row>
    <row r="31" spans="2:132" ht="15" customHeight="1" x14ac:dyDescent="0.15">
      <c r="B31" s="29" t="str">
        <f>IF(G31&lt;&gt;"",SUBTOTAL(3,$G$5:G31),"")</f>
        <v/>
      </c>
      <c r="C31" s="29"/>
      <c r="D31" s="29"/>
      <c r="E31" s="30"/>
      <c r="F31" s="30"/>
      <c r="G31" s="30"/>
      <c r="H31" s="30"/>
      <c r="I31" s="30"/>
      <c r="J31" s="31"/>
      <c r="K31" s="32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5"/>
      <c r="AU31" s="33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5"/>
      <c r="CD31" s="3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</row>
  </sheetData>
  <autoFilter ref="B4:CD31" xr:uid="{D6185A68-BA48-45E7-B262-844E8111256C}"/>
  <mergeCells count="9">
    <mergeCell ref="CD2:CD3"/>
    <mergeCell ref="E2:I2"/>
    <mergeCell ref="B2:B3"/>
    <mergeCell ref="J2:J3"/>
    <mergeCell ref="K2:K3"/>
    <mergeCell ref="C2:C3"/>
    <mergeCell ref="D2:D3"/>
    <mergeCell ref="L2:AT3"/>
    <mergeCell ref="AU2:CC3"/>
  </mergeCells>
  <phoneticPr fontId="2"/>
  <conditionalFormatting sqref="M7:AT7 B5:AT6 N8:AT8 B9:X9 B7:K8 B23:AT31 B21:L22 N21:AT22 Z9:Z10 N11:Z11 AB9:AT11 N12:AT12 B20:AT20 N19:AT19 N14:AT14 AU5:CD31 M15 B10:J19 O16:AT17 L16:M17 L14 L13:AT13 L19 L18:AT18 L11:L12 L10:Y10">
    <cfRule type="expression" dxfId="6" priority="109">
      <formula>AND($K5&lt;&gt;1,$K5&lt;&gt;"",$K5&lt;&gt;"Pass")</formula>
    </cfRule>
  </conditionalFormatting>
  <conditionalFormatting sqref="L9">
    <cfRule type="expression" dxfId="5" priority="111">
      <formula>AND($K8&lt;&gt;1,$K8&lt;&gt;"",$K8&lt;&gt;"Pass")</formula>
    </cfRule>
  </conditionalFormatting>
  <conditionalFormatting sqref="M11">
    <cfRule type="expression" dxfId="4" priority="8">
      <formula>AND($K11&lt;&gt;1,$K11&lt;&gt;"",$K11&lt;&gt;"Pass")</formula>
    </cfRule>
  </conditionalFormatting>
  <conditionalFormatting sqref="M13">
    <cfRule type="expression" dxfId="3" priority="6">
      <formula>AND($K21&lt;&gt;1,$K21&lt;&gt;"",$K21&lt;&gt;"Pass")</formula>
    </cfRule>
  </conditionalFormatting>
  <conditionalFormatting sqref="M12">
    <cfRule type="expression" dxfId="2" priority="5">
      <formula>AND($K12&lt;&gt;1,$K12&lt;&gt;"",$K12&lt;&gt;"Pass")</formula>
    </cfRule>
  </conditionalFormatting>
  <conditionalFormatting sqref="N14">
    <cfRule type="expression" dxfId="1" priority="113">
      <formula>AND($K19&lt;&gt;1,$K19&lt;&gt;"",$K19&lt;&gt;"Pass")</formula>
    </cfRule>
  </conditionalFormatting>
  <conditionalFormatting sqref="K10:K19">
    <cfRule type="expression" dxfId="0" priority="1">
      <formula>AND($K10&lt;&gt;1,$K10&lt;&gt;"",$K10&lt;&gt;"Pass")</formula>
    </cfRule>
  </conditionalFormatting>
  <dataValidations count="1">
    <dataValidation type="list" allowBlank="1" showInputMessage="1" showErrorMessage="1" sqref="K5:K31" xr:uid="{79FFBC00-2CB0-445A-8474-6FBE7C3EE3C2}">
      <formula1>"100%,80%,50%,30%,0%,Pass"</formula1>
    </dataValidation>
  </dataValidations>
  <hyperlinks>
    <hyperlink ref="O20" r:id="rId1" xr:uid="{A0B44116-1F11-4133-A474-F87262082A9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5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590550</xdr:colOff>
                    <xdr:row>1</xdr:row>
                    <xdr:rowOff>19050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262"/>
  <sheetViews>
    <sheetView zoomScale="115" zoomScaleNormal="115" workbookViewId="0">
      <pane ySplit="2" topLeftCell="A3" activePane="bottomLeft" state="frozen"/>
      <selection pane="bottomLeft" activeCell="O33" sqref="O33"/>
    </sheetView>
  </sheetViews>
  <sheetFormatPr defaultColWidth="2.625" defaultRowHeight="15" customHeight="1" x14ac:dyDescent="0.15"/>
  <cols>
    <col min="1" max="1" width="0.5" style="4" customWidth="1"/>
    <col min="2" max="12" width="2.625" style="4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ht="15" customHeight="1" x14ac:dyDescent="0.15"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59" ht="15" customHeight="1" x14ac:dyDescent="0.15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59" ht="15" customHeight="1" x14ac:dyDescent="0.15"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59" ht="15" customHeight="1" x14ac:dyDescent="0.15"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59" ht="15" customHeight="1" x14ac:dyDescent="0.15"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59" ht="15" customHeight="1" x14ac:dyDescent="0.15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59" ht="15" customHeight="1" x14ac:dyDescent="0.15"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59" ht="15" customHeight="1" x14ac:dyDescent="0.1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59" ht="15" customHeight="1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59" ht="15" customHeight="1" x14ac:dyDescent="0.1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59" ht="15" customHeight="1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59" ht="15" customHeight="1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59" ht="15" customHeight="1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59" ht="15" customHeight="1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2:12" ht="15" customHeight="1" x14ac:dyDescent="0.1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2:12" ht="15" customHeight="1" x14ac:dyDescent="0.1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2:12" ht="15" customHeight="1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2:12" ht="15" customHeight="1" x14ac:dyDescent="0.1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2:12" ht="15" customHeight="1" x14ac:dyDescent="0.1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2:12" ht="15" customHeight="1" x14ac:dyDescent="0.1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2:12" ht="15" customHeight="1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2:12" ht="15" customHeight="1" x14ac:dyDescent="0.1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2:12" ht="15" customHeight="1" x14ac:dyDescent="0.1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2:12" ht="15" customHeight="1" x14ac:dyDescent="0.1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2:12" ht="15" customHeight="1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2:12" ht="15" customHeight="1" x14ac:dyDescent="0.15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2:12" ht="15" customHeight="1" x14ac:dyDescent="0.1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</row>
    <row r="30" spans="2:12" ht="15" customHeight="1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2:12" ht="15" customHeight="1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2:12" ht="15" customHeight="1" x14ac:dyDescent="0.1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</row>
    <row r="33" spans="2:12" ht="15" customHeight="1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2:12" ht="15" customHeight="1" x14ac:dyDescent="0.1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</row>
    <row r="35" spans="2:12" ht="15" customHeight="1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2:12" ht="15" customHeight="1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2:12" ht="15" customHeight="1" x14ac:dyDescent="0.1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</row>
    <row r="38" spans="2:12" ht="15" customHeight="1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2:12" ht="15" customHeight="1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2:12" ht="15" customHeight="1" x14ac:dyDescent="0.1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2:12" ht="15" customHeight="1" x14ac:dyDescent="0.1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2:12" ht="15" customHeight="1" x14ac:dyDescent="0.1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2:12" ht="15" customHeight="1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2:12" ht="15" customHeight="1" x14ac:dyDescent="0.1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</row>
    <row r="45" spans="2:12" ht="15" customHeight="1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2:12" ht="15" customHeight="1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2:12" ht="15" customHeight="1" x14ac:dyDescent="0.1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</row>
    <row r="48" spans="2:12" ht="15" customHeight="1" x14ac:dyDescent="0.1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</row>
    <row r="49" spans="2:12" ht="15" customHeight="1" x14ac:dyDescent="0.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</row>
    <row r="50" spans="2:12" ht="15" customHeight="1" x14ac:dyDescent="0.1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</row>
    <row r="51" spans="2:12" ht="15" customHeight="1" x14ac:dyDescent="0.1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</row>
    <row r="52" spans="2:12" ht="15" customHeight="1" x14ac:dyDescent="0.1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</row>
    <row r="53" spans="2:12" ht="15" customHeight="1" x14ac:dyDescent="0.1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</row>
    <row r="54" spans="2:12" ht="15" customHeight="1" x14ac:dyDescent="0.1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2:12" ht="15" customHeight="1" x14ac:dyDescent="0.1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</row>
    <row r="56" spans="2:12" ht="15" customHeight="1" x14ac:dyDescent="0.1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</row>
    <row r="57" spans="2:12" ht="15" customHeight="1" x14ac:dyDescent="0.1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</row>
    <row r="58" spans="2:12" ht="15" customHeight="1" x14ac:dyDescent="0.1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</row>
    <row r="59" spans="2:12" ht="15" customHeight="1" x14ac:dyDescent="0.1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</row>
    <row r="60" spans="2:12" ht="15" customHeight="1" x14ac:dyDescent="0.1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2:12" ht="15" customHeight="1" x14ac:dyDescent="0.1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</row>
    <row r="62" spans="2:12" ht="15" customHeight="1" x14ac:dyDescent="0.1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</row>
    <row r="63" spans="2:12" ht="15" customHeight="1" x14ac:dyDescent="0.1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2:12" ht="15" customHeight="1" x14ac:dyDescent="0.1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2:12" ht="15" customHeight="1" x14ac:dyDescent="0.1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2:12" ht="15" customHeight="1" x14ac:dyDescent="0.1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2:12" ht="15" customHeight="1" x14ac:dyDescent="0.1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2:12" ht="15" customHeight="1" x14ac:dyDescent="0.1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2:12" ht="15" customHeight="1" x14ac:dyDescent="0.1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2:12" ht="15" customHeight="1" x14ac:dyDescent="0.1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2:12" ht="15" customHeight="1" x14ac:dyDescent="0.1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2:12" ht="15" customHeight="1" x14ac:dyDescent="0.1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2:12" ht="15" customHeight="1" x14ac:dyDescent="0.1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2:12" ht="15" customHeight="1" x14ac:dyDescent="0.1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2:12" ht="1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12" ht="1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12" ht="15" customHeight="1" x14ac:dyDescent="0.1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2:12" ht="1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12" ht="15" customHeigh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2:12" ht="1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2:12" ht="1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12" ht="1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2:12" ht="1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12" ht="1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2:12" ht="1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2:12" ht="1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2:12" ht="1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12" ht="1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2:12" ht="1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2:12" ht="1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2:12" ht="1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2:12" ht="1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2:12" ht="1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2:12" ht="1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2:12" ht="1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2:12" ht="1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12" ht="1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2:12" ht="1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12" ht="1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2:12" ht="1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2:12" ht="1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2:12" ht="1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2:12" ht="1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2:12" ht="1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2:12" ht="1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12" ht="1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2:12" ht="1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2:12" ht="1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12" ht="1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2:12" ht="1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12" ht="1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2:12" ht="1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2:12" ht="1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2:12" ht="1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2:12" ht="1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2:12" ht="1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2:12" ht="1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12" ht="1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2:12" ht="1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2:12" ht="1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12" ht="15" customHeight="1" x14ac:dyDescent="0.15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2:12" ht="15" customHeight="1" x14ac:dyDescent="0.15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2:12" ht="15" customHeight="1" x14ac:dyDescent="0.15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2:12" ht="15" customHeight="1" x14ac:dyDescent="0.15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2:12" ht="15" customHeight="1" x14ac:dyDescent="0.15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2:12" ht="15" customHeight="1" x14ac:dyDescent="0.15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2:12" ht="15" customHeight="1" x14ac:dyDescent="0.15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2:12" ht="15" customHeight="1" x14ac:dyDescent="0.15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2:12" ht="15" customHeight="1" x14ac:dyDescent="0.15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2:12" ht="15" customHeight="1" x14ac:dyDescent="0.15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2:12" ht="15" customHeight="1" x14ac:dyDescent="0.15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2:12" ht="15" customHeight="1" x14ac:dyDescent="0.15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2:12" ht="15" customHeight="1" x14ac:dyDescent="0.15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2:12" ht="15" customHeight="1" x14ac:dyDescent="0.15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2:12" ht="15" customHeight="1" x14ac:dyDescent="0.15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2:12" ht="15" customHeight="1" x14ac:dyDescent="0.15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2:12" ht="15" customHeight="1" x14ac:dyDescent="0.15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2:12" ht="15" customHeight="1" x14ac:dyDescent="0.15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2:12" ht="15" customHeight="1" x14ac:dyDescent="0.15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2:12" ht="15" customHeight="1" x14ac:dyDescent="0.15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2:12" ht="15" customHeight="1" x14ac:dyDescent="0.15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2:12" ht="15" customHeight="1" x14ac:dyDescent="0.15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2:12" ht="15" customHeight="1" x14ac:dyDescent="0.15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12" ht="15" customHeight="1" x14ac:dyDescent="0.15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2:12" ht="15" customHeight="1" x14ac:dyDescent="0.15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2:12" ht="15" customHeight="1" x14ac:dyDescent="0.15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2:12" ht="15" customHeight="1" x14ac:dyDescent="0.15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2:12" ht="15" customHeight="1" x14ac:dyDescent="0.15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2:12" ht="15" customHeight="1" x14ac:dyDescent="0.15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2:12" ht="15" customHeight="1" x14ac:dyDescent="0.15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2:12" ht="15" customHeight="1" x14ac:dyDescent="0.15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2:12" ht="15" customHeight="1" x14ac:dyDescent="0.15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2:12" ht="15" customHeight="1" x14ac:dyDescent="0.15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2:12" ht="15" customHeight="1" x14ac:dyDescent="0.15"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2:12" ht="15" customHeight="1" x14ac:dyDescent="0.15"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2:12" ht="15" customHeight="1" x14ac:dyDescent="0.15"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2:12" ht="15" customHeight="1" x14ac:dyDescent="0.15"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2:12" ht="15" customHeight="1" x14ac:dyDescent="0.15"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2:12" ht="15" customHeight="1" x14ac:dyDescent="0.15"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2:12" ht="15" customHeight="1" x14ac:dyDescent="0.15"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2:12" ht="15" customHeight="1" x14ac:dyDescent="0.15"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2:12" ht="15" customHeight="1" x14ac:dyDescent="0.15"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2:12" ht="15" customHeight="1" x14ac:dyDescent="0.15"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2:12" ht="15" customHeight="1" x14ac:dyDescent="0.15"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2:12" ht="15" customHeight="1" x14ac:dyDescent="0.15"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2:12" ht="15" customHeight="1" x14ac:dyDescent="0.15"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2:12" ht="15" customHeight="1" x14ac:dyDescent="0.15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2:12" ht="15" customHeight="1" x14ac:dyDescent="0.15"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2:12" ht="15" customHeight="1" x14ac:dyDescent="0.15"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2:12" ht="15" customHeight="1" x14ac:dyDescent="0.15"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2:12" ht="15" customHeight="1" x14ac:dyDescent="0.15"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2:12" ht="15" customHeight="1" x14ac:dyDescent="0.15"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2:12" ht="15" customHeight="1" x14ac:dyDescent="0.15"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2:12" ht="15" customHeight="1" x14ac:dyDescent="0.15"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2:12" ht="15" customHeight="1" x14ac:dyDescent="0.15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2:12" ht="15" customHeight="1" x14ac:dyDescent="0.15"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2:12" ht="15" customHeight="1" x14ac:dyDescent="0.15"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2:12" ht="15" customHeight="1" x14ac:dyDescent="0.15"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2:12" ht="15" customHeight="1" x14ac:dyDescent="0.15"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2:12" ht="15" customHeight="1" x14ac:dyDescent="0.15"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2:12" ht="15" customHeight="1" x14ac:dyDescent="0.15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2:12" ht="15" customHeight="1" x14ac:dyDescent="0.15"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2:12" ht="15" customHeight="1" x14ac:dyDescent="0.15"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2:12" ht="15" customHeight="1" x14ac:dyDescent="0.15"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2:12" ht="15" customHeight="1" x14ac:dyDescent="0.15"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2:12" ht="15" customHeight="1" x14ac:dyDescent="0.15"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2:12" ht="15" customHeight="1" x14ac:dyDescent="0.15"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2:12" ht="15" customHeight="1" x14ac:dyDescent="0.15"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2:12" ht="15" customHeight="1" x14ac:dyDescent="0.15"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2:12" ht="15" customHeight="1" x14ac:dyDescent="0.15"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2:12" ht="15" customHeight="1" x14ac:dyDescent="0.15"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2:12" ht="15" customHeight="1" x14ac:dyDescent="0.15"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2:12" ht="15" customHeight="1" x14ac:dyDescent="0.15"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2:12" ht="15" customHeight="1" x14ac:dyDescent="0.15"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2:12" ht="15" customHeight="1" x14ac:dyDescent="0.15"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2:12" ht="15" customHeight="1" x14ac:dyDescent="0.15"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2:12" ht="15" customHeight="1" x14ac:dyDescent="0.15"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2:12" ht="15" customHeight="1" x14ac:dyDescent="0.15"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2:12" ht="15" customHeight="1" x14ac:dyDescent="0.15"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2:12" ht="15" customHeight="1" x14ac:dyDescent="0.15"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</row>
    <row r="201" spans="2:12" ht="15" customHeight="1" x14ac:dyDescent="0.15"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</row>
    <row r="202" spans="2:12" ht="15" customHeight="1" x14ac:dyDescent="0.15"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</row>
    <row r="203" spans="2:12" ht="15" customHeight="1" x14ac:dyDescent="0.15"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</row>
    <row r="204" spans="2:12" ht="15" customHeight="1" x14ac:dyDescent="0.15"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</row>
    <row r="205" spans="2:12" ht="15" customHeight="1" x14ac:dyDescent="0.15"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</row>
    <row r="206" spans="2:12" ht="15" customHeight="1" x14ac:dyDescent="0.15"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</row>
    <row r="207" spans="2:12" ht="15" customHeight="1" x14ac:dyDescent="0.15"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</row>
    <row r="208" spans="2:12" ht="15" customHeight="1" x14ac:dyDescent="0.15"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</row>
    <row r="209" spans="2:12" ht="15" customHeight="1" x14ac:dyDescent="0.15"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</row>
    <row r="210" spans="2:12" ht="15" customHeight="1" x14ac:dyDescent="0.15"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</row>
    <row r="211" spans="2:12" ht="15" customHeight="1" x14ac:dyDescent="0.15"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</row>
    <row r="212" spans="2:12" ht="15" customHeight="1" x14ac:dyDescent="0.15"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</row>
    <row r="213" spans="2:12" ht="15" customHeight="1" x14ac:dyDescent="0.15"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</row>
    <row r="214" spans="2:12" ht="15" customHeight="1" x14ac:dyDescent="0.15"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</row>
    <row r="215" spans="2:12" ht="15" customHeight="1" x14ac:dyDescent="0.15"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</row>
    <row r="216" spans="2:12" ht="15" customHeight="1" x14ac:dyDescent="0.15"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</row>
    <row r="217" spans="2:12" ht="15" customHeight="1" x14ac:dyDescent="0.15"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</row>
    <row r="218" spans="2:12" ht="15" customHeight="1" x14ac:dyDescent="0.15"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</row>
    <row r="219" spans="2:12" ht="15" customHeight="1" x14ac:dyDescent="0.15"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</row>
    <row r="220" spans="2:12" ht="15" customHeight="1" x14ac:dyDescent="0.15"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</row>
    <row r="221" spans="2:12" ht="15" customHeight="1" x14ac:dyDescent="0.15"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</row>
    <row r="222" spans="2:12" ht="15" customHeight="1" x14ac:dyDescent="0.15"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</row>
    <row r="223" spans="2:12" ht="15" customHeight="1" x14ac:dyDescent="0.15"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</row>
    <row r="224" spans="2:12" ht="15" customHeight="1" x14ac:dyDescent="0.15"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</row>
    <row r="225" spans="2:12" ht="15" customHeight="1" x14ac:dyDescent="0.15"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</row>
    <row r="226" spans="2:12" ht="15" customHeight="1" x14ac:dyDescent="0.15"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</row>
    <row r="227" spans="2:12" ht="15" customHeight="1" x14ac:dyDescent="0.15"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</row>
    <row r="228" spans="2:12" ht="15" customHeight="1" x14ac:dyDescent="0.15"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</row>
    <row r="229" spans="2:12" ht="15" customHeight="1" x14ac:dyDescent="0.15"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</row>
    <row r="230" spans="2:12" ht="15" customHeight="1" x14ac:dyDescent="0.15"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</row>
    <row r="231" spans="2:12" ht="15" customHeight="1" x14ac:dyDescent="0.15"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</row>
    <row r="232" spans="2:12" ht="15" customHeight="1" x14ac:dyDescent="0.15"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</row>
    <row r="233" spans="2:12" ht="15" customHeight="1" x14ac:dyDescent="0.15"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</row>
    <row r="234" spans="2:12" ht="15" customHeight="1" x14ac:dyDescent="0.15"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</row>
    <row r="235" spans="2:12" ht="15" customHeight="1" x14ac:dyDescent="0.15"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</row>
    <row r="236" spans="2:12" ht="15" customHeight="1" x14ac:dyDescent="0.15"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</row>
    <row r="237" spans="2:12" ht="15" customHeight="1" x14ac:dyDescent="0.15"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</row>
    <row r="238" spans="2:12" ht="15" customHeight="1" x14ac:dyDescent="0.15"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</row>
    <row r="239" spans="2:12" ht="15" customHeight="1" x14ac:dyDescent="0.15"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</row>
    <row r="240" spans="2:12" ht="15" customHeight="1" x14ac:dyDescent="0.15"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</row>
    <row r="241" spans="2:12" ht="15" customHeight="1" x14ac:dyDescent="0.15"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</row>
    <row r="242" spans="2:12" ht="15" customHeight="1" x14ac:dyDescent="0.1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</row>
    <row r="243" spans="2:12" ht="15" customHeight="1" x14ac:dyDescent="0.15"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</row>
    <row r="244" spans="2:12" ht="15" customHeight="1" x14ac:dyDescent="0.15"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</row>
    <row r="245" spans="2:12" ht="15" customHeight="1" x14ac:dyDescent="0.15"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</row>
    <row r="246" spans="2:12" ht="15" customHeight="1" x14ac:dyDescent="0.15"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</row>
    <row r="247" spans="2:12" ht="15" customHeight="1" x14ac:dyDescent="0.15"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</row>
    <row r="248" spans="2:12" ht="15" customHeight="1" x14ac:dyDescent="0.15"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</row>
    <row r="249" spans="2:12" ht="15" customHeight="1" x14ac:dyDescent="0.15"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</row>
    <row r="250" spans="2:12" ht="15" customHeight="1" x14ac:dyDescent="0.15"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</row>
    <row r="251" spans="2:12" ht="15" customHeight="1" x14ac:dyDescent="0.15"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</row>
    <row r="252" spans="2:12" ht="15" customHeight="1" x14ac:dyDescent="0.1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</row>
    <row r="253" spans="2:12" ht="15" customHeight="1" x14ac:dyDescent="0.15"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</row>
    <row r="254" spans="2:12" ht="15" customHeight="1" x14ac:dyDescent="0.15"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</row>
    <row r="255" spans="2:12" ht="15" customHeight="1" x14ac:dyDescent="0.15"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</row>
    <row r="256" spans="2:12" ht="15" customHeight="1" x14ac:dyDescent="0.15"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</row>
    <row r="257" spans="2:12" ht="15" customHeight="1" x14ac:dyDescent="0.15"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</row>
    <row r="258" spans="2:12" ht="15" customHeight="1" x14ac:dyDescent="0.15"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</row>
    <row r="259" spans="2:12" ht="15" customHeight="1" x14ac:dyDescent="0.15"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</row>
    <row r="260" spans="2:12" ht="15" customHeight="1" x14ac:dyDescent="0.15"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</row>
    <row r="261" spans="2:12" ht="15" customHeight="1" x14ac:dyDescent="0.15"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</row>
    <row r="262" spans="2:12" ht="15" customHeight="1" x14ac:dyDescent="0.15"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</row>
  </sheetData>
  <phoneticPr fontId="2"/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総合的研究 数学Ⅱ＋Ｂ</vt:lpstr>
      <vt:lpstr>詳細内容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2020-11-15T14:29:30Z</dcterms:modified>
</cp:coreProperties>
</file>